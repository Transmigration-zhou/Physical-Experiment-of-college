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F:\大物\实验\"/>
    </mc:Choice>
  </mc:AlternateContent>
  <xr:revisionPtr revIDLastSave="0" documentId="13_ncr:1_{583E479B-FDCF-4AD5-B46F-EE81011E8783}" xr6:coauthVersionLast="45" xr6:coauthVersionMax="45" xr10:uidLastSave="{00000000-0000-0000-0000-000000000000}"/>
  <bookViews>
    <workbookView xWindow="-113" yWindow="-113" windowWidth="24267" windowHeight="1314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0" i="1" l="1"/>
  <c r="P25" i="1"/>
  <c r="P20" i="1"/>
  <c r="P15" i="1"/>
  <c r="P10" i="1"/>
  <c r="Q26" i="1"/>
  <c r="R26" i="1"/>
  <c r="S26" i="1"/>
  <c r="Q27" i="1"/>
  <c r="R27" i="1"/>
  <c r="S27" i="1"/>
  <c r="Q28" i="1"/>
  <c r="R28" i="1"/>
  <c r="S28" i="1"/>
  <c r="Q29" i="1"/>
  <c r="R29" i="1"/>
  <c r="S29" i="1"/>
  <c r="Q21" i="1"/>
  <c r="R21" i="1"/>
  <c r="S21" i="1"/>
  <c r="Q22" i="1"/>
  <c r="R22" i="1"/>
  <c r="S22" i="1"/>
  <c r="Q23" i="1"/>
  <c r="R23" i="1"/>
  <c r="S23" i="1"/>
  <c r="Q24" i="1"/>
  <c r="R24" i="1"/>
  <c r="S24" i="1"/>
  <c r="Q17" i="1"/>
  <c r="R17" i="1"/>
  <c r="S17" i="1"/>
  <c r="Q18" i="1"/>
  <c r="R18" i="1"/>
  <c r="S18" i="1"/>
  <c r="Q19" i="1"/>
  <c r="R19" i="1"/>
  <c r="S19" i="1"/>
  <c r="Q16" i="1"/>
  <c r="R16" i="1"/>
  <c r="S16" i="1"/>
  <c r="Q12" i="1"/>
  <c r="R12" i="1"/>
  <c r="S12" i="1"/>
  <c r="Q13" i="1"/>
  <c r="R13" i="1"/>
  <c r="S13" i="1"/>
  <c r="Q14" i="1"/>
  <c r="R14" i="1"/>
  <c r="S14" i="1"/>
  <c r="Q11" i="1"/>
  <c r="R11" i="1"/>
  <c r="S11" i="1"/>
  <c r="P29" i="1"/>
  <c r="P27" i="1"/>
  <c r="P28" i="1"/>
  <c r="P26" i="1"/>
  <c r="P22" i="1"/>
  <c r="P23" i="1"/>
  <c r="P24" i="1"/>
  <c r="P21" i="1"/>
  <c r="P17" i="1"/>
  <c r="P18" i="1"/>
  <c r="P19" i="1"/>
  <c r="P16" i="1"/>
  <c r="P12" i="1"/>
  <c r="P13" i="1"/>
  <c r="P14" i="1"/>
  <c r="P11" i="1"/>
  <c r="Q7" i="1"/>
  <c r="R7" i="1"/>
  <c r="S7" i="1"/>
  <c r="Q8" i="1"/>
  <c r="R8" i="1"/>
  <c r="S8" i="1"/>
  <c r="Q9" i="1"/>
  <c r="R9" i="1"/>
  <c r="S9" i="1"/>
  <c r="P7" i="1"/>
  <c r="P8" i="1"/>
  <c r="P9" i="1"/>
  <c r="Q6" i="1"/>
  <c r="R6" i="1"/>
  <c r="S6" i="1"/>
  <c r="P6" i="1"/>
  <c r="L30" i="1"/>
  <c r="M30" i="1"/>
  <c r="N30" i="1"/>
  <c r="K30" i="1"/>
  <c r="L25" i="1"/>
  <c r="M25" i="1"/>
  <c r="N25" i="1"/>
  <c r="K25" i="1"/>
  <c r="L20" i="1"/>
  <c r="M20" i="1"/>
  <c r="N20" i="1"/>
  <c r="K20" i="1"/>
  <c r="L15" i="1"/>
  <c r="M15" i="1"/>
  <c r="N15" i="1"/>
  <c r="K15" i="1"/>
  <c r="K10" i="1"/>
  <c r="L10" i="1"/>
  <c r="M10" i="1"/>
  <c r="N10" i="1"/>
  <c r="N26" i="1"/>
  <c r="N27" i="1"/>
  <c r="N28" i="1"/>
  <c r="N29" i="1"/>
  <c r="M29" i="1"/>
  <c r="L29" i="1"/>
  <c r="M26" i="1"/>
  <c r="M27" i="1"/>
  <c r="M28" i="1"/>
  <c r="L26" i="1"/>
  <c r="L27" i="1"/>
  <c r="L28" i="1"/>
  <c r="K26" i="1"/>
  <c r="K27" i="1"/>
  <c r="K28" i="1"/>
  <c r="K29" i="1"/>
  <c r="N6" i="1"/>
  <c r="N7" i="1"/>
  <c r="N8" i="1"/>
  <c r="N9" i="1"/>
  <c r="N11" i="1"/>
  <c r="N12" i="1"/>
  <c r="N13" i="1"/>
  <c r="N14" i="1"/>
  <c r="N16" i="1"/>
  <c r="N17" i="1"/>
  <c r="N18" i="1"/>
  <c r="N19" i="1"/>
  <c r="M6" i="1"/>
  <c r="M7" i="1"/>
  <c r="M8" i="1"/>
  <c r="M9" i="1"/>
  <c r="M11" i="1"/>
  <c r="M12" i="1"/>
  <c r="M13" i="1"/>
  <c r="M14" i="1"/>
  <c r="M16" i="1"/>
  <c r="M17" i="1"/>
  <c r="M18" i="1"/>
  <c r="M19" i="1"/>
  <c r="L6" i="1"/>
  <c r="L7" i="1"/>
  <c r="L8" i="1"/>
  <c r="L9" i="1"/>
  <c r="L11" i="1"/>
  <c r="L12" i="1"/>
  <c r="L13" i="1"/>
  <c r="L14" i="1"/>
  <c r="L16" i="1"/>
  <c r="L17" i="1"/>
  <c r="L18" i="1"/>
  <c r="L19" i="1"/>
  <c r="K6" i="1"/>
  <c r="K7" i="1"/>
  <c r="K8" i="1"/>
  <c r="K9" i="1"/>
  <c r="K11" i="1"/>
  <c r="K12" i="1"/>
  <c r="K13" i="1"/>
  <c r="K14" i="1"/>
  <c r="K16" i="1"/>
  <c r="K17" i="1"/>
  <c r="K18" i="1"/>
  <c r="K19" i="1"/>
  <c r="K21" i="1"/>
  <c r="K22" i="1"/>
  <c r="K23" i="1"/>
  <c r="L21" i="1"/>
  <c r="M21" i="1"/>
  <c r="N21" i="1"/>
  <c r="L22" i="1"/>
  <c r="M22" i="1"/>
  <c r="N22" i="1"/>
  <c r="L23" i="1"/>
  <c r="M23" i="1"/>
  <c r="N23" i="1"/>
  <c r="L24" i="1"/>
  <c r="M24" i="1"/>
  <c r="N24" i="1"/>
  <c r="K24" i="1"/>
</calcChain>
</file>

<file path=xl/sharedStrings.xml><?xml version="1.0" encoding="utf-8"?>
<sst xmlns="http://schemas.openxmlformats.org/spreadsheetml/2006/main" count="44" uniqueCount="23">
  <si>
    <t>原始数据</t>
  </si>
  <si>
    <r>
      <t>能量损失率（γ=1-</t>
    </r>
    <r>
      <rPr>
        <i/>
        <sz val="16"/>
        <color rgb="FF000000"/>
        <rFont val="宋体"/>
        <charset val="134"/>
      </rPr>
      <t>T2i+1/T2i</t>
    </r>
    <r>
      <rPr>
        <sz val="16"/>
        <color rgb="FF000000"/>
        <rFont val="宋体"/>
        <charset val="134"/>
      </rPr>
      <t>=1-剩余能量百分比）</t>
    </r>
  </si>
  <si>
    <r>
      <t>碰撞恢复系数（</t>
    </r>
    <r>
      <rPr>
        <i/>
        <sz val="16"/>
        <color rgb="FF000000"/>
        <rFont val="宋体"/>
        <charset val="134"/>
      </rPr>
      <t>ei=Ti+1/Ti</t>
    </r>
    <r>
      <rPr>
        <sz val="16"/>
        <color rgb="FF000000"/>
        <rFont val="宋体"/>
        <charset val="134"/>
      </rPr>
      <t>）</t>
    </r>
  </si>
  <si>
    <t>H0</t>
  </si>
  <si>
    <t>T1</t>
  </si>
  <si>
    <t>T2</t>
  </si>
  <si>
    <t>T3</t>
  </si>
  <si>
    <t>T4</t>
  </si>
  <si>
    <t>T5</t>
  </si>
  <si>
    <t>γ1</t>
  </si>
  <si>
    <t>γ2</t>
  </si>
  <si>
    <t>γ3</t>
  </si>
  <si>
    <t>γ4</t>
  </si>
  <si>
    <t>e1</t>
  </si>
  <si>
    <t>e2</t>
  </si>
  <si>
    <t>e3</t>
  </si>
  <si>
    <t>e4</t>
  </si>
  <si>
    <t>30cm</t>
  </si>
  <si>
    <t>平均</t>
  </si>
  <si>
    <t>40cm</t>
  </si>
  <si>
    <t>50cm</t>
  </si>
  <si>
    <t>60cm</t>
  </si>
  <si>
    <t>70cm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</si>
</sst>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7" x14ac:knownFonts="1">
    <font>
      <sz val="11"/>
      <color theme="1"/>
      <name val="宋体"/>
      <charset val="134"/>
      <scheme val="minor"/>
    </font>
    <font>
      <sz val="16"/>
      <color rgb="FF000000"/>
      <name val="宋体"/>
      <charset val="134"/>
    </font>
    <font>
      <i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family val="1"/>
    </font>
    <font>
      <i/>
      <sz val="16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80000"/>
      </left>
      <right style="medium">
        <color rgb="FF080000"/>
      </right>
      <top style="medium">
        <color rgb="FF080000"/>
      </top>
      <bottom style="medium">
        <color rgb="FF080000"/>
      </bottom>
      <diagonal/>
    </border>
    <border>
      <left style="medium">
        <color rgb="FF080000"/>
      </left>
      <right/>
      <top style="medium">
        <color rgb="FF080000"/>
      </top>
      <bottom style="medium">
        <color rgb="FF080000"/>
      </bottom>
      <diagonal/>
    </border>
    <border>
      <left/>
      <right/>
      <top style="medium">
        <color rgb="FF080000"/>
      </top>
      <bottom style="medium">
        <color rgb="FF080000"/>
      </bottom>
      <diagonal/>
    </border>
    <border>
      <left/>
      <right style="medium">
        <color rgb="FF080000"/>
      </right>
      <top style="medium">
        <color rgb="FF080000"/>
      </top>
      <bottom style="medium">
        <color rgb="FF08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178" fontId="4" fillId="0" borderId="1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S30"/>
  <sheetViews>
    <sheetView tabSelected="1" workbookViewId="0">
      <selection activeCell="P30" sqref="P30:S30"/>
    </sheetView>
  </sheetViews>
  <sheetFormatPr defaultColWidth="9" defaultRowHeight="15.05" x14ac:dyDescent="0.25"/>
  <cols>
    <col min="11" max="11" width="12.33203125" bestFit="1" customWidth="1"/>
    <col min="16" max="16" width="12.33203125" bestFit="1" customWidth="1"/>
  </cols>
  <sheetData>
    <row r="1" spans="4:19" ht="13.5" customHeight="1" x14ac:dyDescent="0.25"/>
    <row r="3" spans="4:19" ht="15.05" customHeight="1" x14ac:dyDescent="0.25"/>
    <row r="4" spans="4:19" ht="20.7" x14ac:dyDescent="0.25">
      <c r="D4" s="6" t="s">
        <v>0</v>
      </c>
      <c r="E4" s="6"/>
      <c r="F4" s="6"/>
      <c r="G4" s="6"/>
      <c r="H4" s="6"/>
      <c r="I4" s="6"/>
      <c r="J4" s="6" t="s">
        <v>1</v>
      </c>
      <c r="K4" s="6"/>
      <c r="L4" s="6"/>
      <c r="M4" s="6"/>
      <c r="N4" s="6"/>
      <c r="O4" s="6" t="s">
        <v>2</v>
      </c>
      <c r="P4" s="6"/>
      <c r="Q4" s="6"/>
      <c r="R4" s="6"/>
      <c r="S4" s="6"/>
    </row>
    <row r="5" spans="4:19" ht="15.65" x14ac:dyDescent="0.25"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3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3</v>
      </c>
      <c r="P5" s="1" t="s">
        <v>13</v>
      </c>
      <c r="Q5" s="1" t="s">
        <v>14</v>
      </c>
      <c r="R5" s="1" t="s">
        <v>15</v>
      </c>
      <c r="S5" s="1" t="s">
        <v>16</v>
      </c>
    </row>
    <row r="6" spans="4:19" ht="15.65" x14ac:dyDescent="0.25">
      <c r="D6" s="7" t="s">
        <v>17</v>
      </c>
      <c r="E6" s="8">
        <v>0.43</v>
      </c>
      <c r="F6" s="8">
        <v>0.35199999999999998</v>
      </c>
      <c r="G6" s="8">
        <v>0.29499999999999998</v>
      </c>
      <c r="H6" s="8">
        <v>0.252</v>
      </c>
      <c r="I6" s="8">
        <v>0.22</v>
      </c>
      <c r="J6" s="7" t="s">
        <v>17</v>
      </c>
      <c r="K6" s="3">
        <f t="shared" ref="K6:N25" si="0">1-F6*F6/E6/E6</f>
        <v>0.32988642509464583</v>
      </c>
      <c r="L6" s="3">
        <f t="shared" si="0"/>
        <v>0.29764172262396693</v>
      </c>
      <c r="M6" s="3">
        <f t="shared" si="0"/>
        <v>0.27027865555874742</v>
      </c>
      <c r="N6" s="3">
        <f t="shared" si="0"/>
        <v>0.23784328546233313</v>
      </c>
      <c r="O6" s="7" t="s">
        <v>17</v>
      </c>
      <c r="P6" s="3">
        <f>F6/E6</f>
        <v>0.81860465116279069</v>
      </c>
      <c r="Q6" s="3">
        <f t="shared" ref="Q6:S9" si="1">G6/F6</f>
        <v>0.83806818181818177</v>
      </c>
      <c r="R6" s="3">
        <f t="shared" si="1"/>
        <v>0.8542372881355933</v>
      </c>
      <c r="S6" s="3">
        <f t="shared" si="1"/>
        <v>0.87301587301587302</v>
      </c>
    </row>
    <row r="7" spans="4:19" ht="17.25" customHeight="1" x14ac:dyDescent="0.25">
      <c r="D7" s="7"/>
      <c r="E7" s="8">
        <v>0.435</v>
      </c>
      <c r="F7" s="8">
        <v>0.36</v>
      </c>
      <c r="G7" s="8">
        <v>0.30099999999999999</v>
      </c>
      <c r="H7" s="8">
        <v>0.25600000000000001</v>
      </c>
      <c r="I7" s="8">
        <v>0.22</v>
      </c>
      <c r="J7" s="7"/>
      <c r="K7" s="3">
        <f t="shared" si="0"/>
        <v>0.31510107015457789</v>
      </c>
      <c r="L7" s="3">
        <f t="shared" si="0"/>
        <v>0.30091820987654316</v>
      </c>
      <c r="M7" s="3">
        <f t="shared" si="0"/>
        <v>0.27665257557863598</v>
      </c>
      <c r="N7" s="3">
        <f t="shared" si="0"/>
        <v>0.261474609375</v>
      </c>
      <c r="O7" s="7"/>
      <c r="P7" s="3">
        <f t="shared" ref="P7:P9" si="2">F7/E7</f>
        <v>0.82758620689655171</v>
      </c>
      <c r="Q7" s="3">
        <f t="shared" si="1"/>
        <v>0.83611111111111114</v>
      </c>
      <c r="R7" s="3">
        <f t="shared" si="1"/>
        <v>0.85049833887043191</v>
      </c>
      <c r="S7" s="3">
        <f t="shared" si="1"/>
        <v>0.859375</v>
      </c>
    </row>
    <row r="8" spans="4:19" ht="17.25" customHeight="1" x14ac:dyDescent="0.25">
      <c r="D8" s="7"/>
      <c r="E8" s="8">
        <v>0.42199999999999999</v>
      </c>
      <c r="F8" s="8">
        <v>0.35399999999999998</v>
      </c>
      <c r="G8" s="8">
        <v>0.29899999999999999</v>
      </c>
      <c r="H8" s="8">
        <v>0.254</v>
      </c>
      <c r="I8" s="8">
        <v>0.217</v>
      </c>
      <c r="J8" s="7"/>
      <c r="K8" s="3">
        <f t="shared" si="0"/>
        <v>0.2963096067024551</v>
      </c>
      <c r="L8" s="3">
        <f t="shared" si="0"/>
        <v>0.28659548660985035</v>
      </c>
      <c r="M8" s="3">
        <f t="shared" si="0"/>
        <v>0.2783525911343272</v>
      </c>
      <c r="N8" s="3">
        <f t="shared" si="0"/>
        <v>0.27011904023808053</v>
      </c>
      <c r="O8" s="7"/>
      <c r="P8" s="3">
        <f t="shared" si="2"/>
        <v>0.83886255924170616</v>
      </c>
      <c r="Q8" s="3">
        <f t="shared" si="1"/>
        <v>0.84463276836158196</v>
      </c>
      <c r="R8" s="3">
        <f t="shared" si="1"/>
        <v>0.84949832775919742</v>
      </c>
      <c r="S8" s="3">
        <f t="shared" si="1"/>
        <v>0.85433070866141736</v>
      </c>
    </row>
    <row r="9" spans="4:19" ht="16.3" thickBot="1" x14ac:dyDescent="0.3">
      <c r="D9" s="7"/>
      <c r="E9" s="8">
        <v>0.42599999999999999</v>
      </c>
      <c r="F9" s="8">
        <v>0.35099999999999998</v>
      </c>
      <c r="G9" s="8">
        <v>0.29599999999999999</v>
      </c>
      <c r="H9" s="8">
        <v>0.246</v>
      </c>
      <c r="I9" s="8">
        <v>0.21299999999999999</v>
      </c>
      <c r="J9" s="7"/>
      <c r="K9" s="3">
        <f t="shared" si="0"/>
        <v>0.32111684189644918</v>
      </c>
      <c r="L9" s="3">
        <f t="shared" si="0"/>
        <v>0.28883694125859372</v>
      </c>
      <c r="M9" s="3">
        <f t="shared" si="0"/>
        <v>0.30930423666910145</v>
      </c>
      <c r="N9" s="3">
        <f t="shared" si="0"/>
        <v>0.25029744199881021</v>
      </c>
      <c r="O9" s="7"/>
      <c r="P9" s="3">
        <f t="shared" si="2"/>
        <v>0.823943661971831</v>
      </c>
      <c r="Q9" s="3">
        <f t="shared" si="1"/>
        <v>0.84330484330484334</v>
      </c>
      <c r="R9" s="3">
        <f t="shared" si="1"/>
        <v>0.83108108108108114</v>
      </c>
      <c r="S9" s="3">
        <f t="shared" si="1"/>
        <v>0.86585365853658536</v>
      </c>
    </row>
    <row r="10" spans="4:19" ht="16.3" thickBot="1" x14ac:dyDescent="0.3">
      <c r="D10" s="4"/>
      <c r="E10" s="8"/>
      <c r="F10" s="8"/>
      <c r="G10" s="8"/>
      <c r="H10" s="8"/>
      <c r="I10" s="8"/>
      <c r="J10" s="2" t="s">
        <v>18</v>
      </c>
      <c r="K10" s="3">
        <f>AVERAGE(K6:K9)</f>
        <v>0.31560348596203203</v>
      </c>
      <c r="L10" s="3">
        <f t="shared" ref="L10:N10" si="3">AVERAGE(L6:L9)</f>
        <v>0.29349809009223854</v>
      </c>
      <c r="M10" s="3">
        <f t="shared" si="3"/>
        <v>0.28364701473520304</v>
      </c>
      <c r="N10" s="3">
        <f t="shared" si="3"/>
        <v>0.254933594268556</v>
      </c>
      <c r="O10" s="2" t="s">
        <v>18</v>
      </c>
      <c r="P10" s="9">
        <f>AVERAGE(P6:S9)</f>
        <v>0.84431276624554841</v>
      </c>
      <c r="Q10" s="10"/>
      <c r="R10" s="10"/>
      <c r="S10" s="11"/>
    </row>
    <row r="11" spans="4:19" ht="16.3" thickBot="1" x14ac:dyDescent="0.3">
      <c r="D11" s="7" t="s">
        <v>19</v>
      </c>
      <c r="E11" s="8">
        <v>0.47299999999999998</v>
      </c>
      <c r="F11" s="8">
        <v>0.38700000000000001</v>
      </c>
      <c r="G11" s="8">
        <v>0.32200000000000001</v>
      </c>
      <c r="H11" s="8">
        <v>0.26800000000000002</v>
      </c>
      <c r="I11" s="8">
        <v>0.223</v>
      </c>
      <c r="J11" s="7" t="s">
        <v>19</v>
      </c>
      <c r="K11" s="3">
        <f t="shared" si="0"/>
        <v>0.33057851239669411</v>
      </c>
      <c r="L11" s="3">
        <f t="shared" si="0"/>
        <v>0.30770720242506799</v>
      </c>
      <c r="M11" s="3">
        <f t="shared" si="0"/>
        <v>0.30727981173565821</v>
      </c>
      <c r="N11" s="3">
        <f t="shared" si="0"/>
        <v>0.3076269770550234</v>
      </c>
      <c r="O11" s="7" t="s">
        <v>19</v>
      </c>
      <c r="P11" s="3">
        <f>F11/E11</f>
        <v>0.81818181818181823</v>
      </c>
      <c r="Q11" s="3">
        <f t="shared" ref="Q11:S11" si="4">G11/F11</f>
        <v>0.83204134366925064</v>
      </c>
      <c r="R11" s="3">
        <f t="shared" si="4"/>
        <v>0.83229813664596275</v>
      </c>
      <c r="S11" s="3">
        <f t="shared" si="4"/>
        <v>0.83208955223880599</v>
      </c>
    </row>
    <row r="12" spans="4:19" ht="17.25" customHeight="1" x14ac:dyDescent="0.25">
      <c r="D12" s="7"/>
      <c r="E12" s="8">
        <v>0.47399999999999998</v>
      </c>
      <c r="F12" s="8">
        <v>0.39</v>
      </c>
      <c r="G12" s="8">
        <v>0.32800000000000001</v>
      </c>
      <c r="H12" s="8">
        <v>0.28100000000000003</v>
      </c>
      <c r="I12" s="8">
        <v>0.23799999999999999</v>
      </c>
      <c r="J12" s="7"/>
      <c r="K12" s="3">
        <f t="shared" si="0"/>
        <v>0.32302515622496386</v>
      </c>
      <c r="L12" s="3">
        <f t="shared" si="0"/>
        <v>0.29267587113740956</v>
      </c>
      <c r="M12" s="3">
        <f t="shared" si="0"/>
        <v>0.26605257287328965</v>
      </c>
      <c r="N12" s="3">
        <f t="shared" si="0"/>
        <v>0.28263319866769698</v>
      </c>
      <c r="O12" s="7"/>
      <c r="P12" s="3">
        <f t="shared" ref="P12:P14" si="5">F12/E12</f>
        <v>0.82278481012658233</v>
      </c>
      <c r="Q12" s="3">
        <f t="shared" ref="Q12:Q14" si="6">G12/F12</f>
        <v>0.84102564102564104</v>
      </c>
      <c r="R12" s="3">
        <f t="shared" ref="R12:R14" si="7">H12/G12</f>
        <v>0.85670731707317083</v>
      </c>
      <c r="S12" s="3">
        <f t="shared" ref="S12:S14" si="8">I12/H12</f>
        <v>0.84697508896797136</v>
      </c>
    </row>
    <row r="13" spans="4:19" ht="17.25" customHeight="1" x14ac:dyDescent="0.25">
      <c r="D13" s="7"/>
      <c r="E13" s="8">
        <v>0.47299999999999998</v>
      </c>
      <c r="F13" s="8">
        <v>0.38600000000000001</v>
      </c>
      <c r="G13" s="8">
        <v>0.32600000000000001</v>
      </c>
      <c r="H13" s="8">
        <v>0.27700000000000002</v>
      </c>
      <c r="I13" s="8">
        <v>0.23699999999999999</v>
      </c>
      <c r="J13" s="7"/>
      <c r="K13" s="3">
        <f t="shared" si="0"/>
        <v>0.33403358527504246</v>
      </c>
      <c r="L13" s="3">
        <f t="shared" si="0"/>
        <v>0.2867191065531961</v>
      </c>
      <c r="M13" s="3">
        <f t="shared" si="0"/>
        <v>0.27802137829801632</v>
      </c>
      <c r="N13" s="3">
        <f t="shared" si="0"/>
        <v>0.26795605312202697</v>
      </c>
      <c r="O13" s="7"/>
      <c r="P13" s="3">
        <f t="shared" si="5"/>
        <v>0.81606765327695563</v>
      </c>
      <c r="Q13" s="3">
        <f t="shared" si="6"/>
        <v>0.84455958549222798</v>
      </c>
      <c r="R13" s="3">
        <f t="shared" si="7"/>
        <v>0.84969325153374242</v>
      </c>
      <c r="S13" s="3">
        <f t="shared" si="8"/>
        <v>0.85559566787003594</v>
      </c>
    </row>
    <row r="14" spans="4:19" ht="16.3" thickBot="1" x14ac:dyDescent="0.3">
      <c r="D14" s="7"/>
      <c r="E14" s="8">
        <v>0.46</v>
      </c>
      <c r="F14" s="8">
        <v>0.377</v>
      </c>
      <c r="G14" s="8">
        <v>0.318</v>
      </c>
      <c r="H14" s="8">
        <v>0.27</v>
      </c>
      <c r="I14" s="8">
        <v>0.23</v>
      </c>
      <c r="J14" s="7"/>
      <c r="K14" s="3">
        <f t="shared" si="0"/>
        <v>0.32831285444234404</v>
      </c>
      <c r="L14" s="3">
        <f t="shared" si="0"/>
        <v>0.2885055125977104</v>
      </c>
      <c r="M14" s="3">
        <f t="shared" si="0"/>
        <v>0.27910288358846569</v>
      </c>
      <c r="N14" s="3">
        <f t="shared" si="0"/>
        <v>0.27434842249657077</v>
      </c>
      <c r="O14" s="7"/>
      <c r="P14" s="3">
        <f t="shared" si="5"/>
        <v>0.81956521739130428</v>
      </c>
      <c r="Q14" s="3">
        <f t="shared" si="6"/>
        <v>0.843501326259947</v>
      </c>
      <c r="R14" s="3">
        <f t="shared" si="7"/>
        <v>0.84905660377358494</v>
      </c>
      <c r="S14" s="3">
        <f t="shared" si="8"/>
        <v>0.85185185185185186</v>
      </c>
    </row>
    <row r="15" spans="4:19" ht="16.3" thickBot="1" x14ac:dyDescent="0.3">
      <c r="D15" s="4"/>
      <c r="E15" s="8"/>
      <c r="F15" s="8"/>
      <c r="G15" s="8"/>
      <c r="H15" s="8"/>
      <c r="I15" s="8"/>
      <c r="J15" s="2" t="s">
        <v>18</v>
      </c>
      <c r="K15" s="3">
        <f>AVERAGE(K11:K14)</f>
        <v>0.32898752708476109</v>
      </c>
      <c r="L15" s="3">
        <f t="shared" ref="L15:N15" si="9">AVERAGE(L11:L14)</f>
        <v>0.29390192317834601</v>
      </c>
      <c r="M15" s="3">
        <f t="shared" si="9"/>
        <v>0.28261416162385744</v>
      </c>
      <c r="N15" s="3">
        <f t="shared" si="9"/>
        <v>0.28314116283532953</v>
      </c>
      <c r="O15" s="2" t="s">
        <v>18</v>
      </c>
      <c r="P15" s="9">
        <f>AVERAGE(P11:S14)</f>
        <v>0.8382496790861782</v>
      </c>
      <c r="Q15" s="10"/>
      <c r="R15" s="10"/>
      <c r="S15" s="11"/>
    </row>
    <row r="16" spans="4:19" ht="16.3" thickBot="1" x14ac:dyDescent="0.3">
      <c r="D16" s="7" t="s">
        <v>20</v>
      </c>
      <c r="E16" s="8">
        <v>0.52400000000000002</v>
      </c>
      <c r="F16" s="8">
        <v>0.43099999999999999</v>
      </c>
      <c r="G16" s="8">
        <v>0.35399999999999998</v>
      </c>
      <c r="H16" s="8">
        <v>0.30199999999999999</v>
      </c>
      <c r="I16" s="8">
        <v>0.253</v>
      </c>
      <c r="J16" s="7" t="s">
        <v>20</v>
      </c>
      <c r="K16" s="3">
        <f t="shared" si="0"/>
        <v>0.32346235650603117</v>
      </c>
      <c r="L16" s="3">
        <f t="shared" si="0"/>
        <v>0.32539122851405855</v>
      </c>
      <c r="M16" s="3">
        <f t="shared" si="0"/>
        <v>0.27220785853362695</v>
      </c>
      <c r="N16" s="3">
        <f t="shared" si="0"/>
        <v>0.29817771150388139</v>
      </c>
      <c r="O16" s="7" t="s">
        <v>20</v>
      </c>
      <c r="P16" s="3">
        <f>F16/E16</f>
        <v>0.8225190839694656</v>
      </c>
      <c r="Q16" s="3">
        <f t="shared" ref="Q16:S16" si="10">G16/F16</f>
        <v>0.82134570765661252</v>
      </c>
      <c r="R16" s="3">
        <f t="shared" si="10"/>
        <v>0.85310734463276838</v>
      </c>
      <c r="S16" s="3">
        <f t="shared" si="10"/>
        <v>0.83774834437086099</v>
      </c>
    </row>
    <row r="17" spans="4:19" ht="17.25" customHeight="1" x14ac:dyDescent="0.25">
      <c r="D17" s="7"/>
      <c r="E17" s="8">
        <v>0.52700000000000002</v>
      </c>
      <c r="F17" s="8">
        <v>0.42799999999999999</v>
      </c>
      <c r="G17" s="8">
        <v>0.35799999999999998</v>
      </c>
      <c r="H17" s="8">
        <v>0.30599999999999999</v>
      </c>
      <c r="I17" s="8">
        <v>0.26200000000000001</v>
      </c>
      <c r="J17" s="7"/>
      <c r="K17" s="3">
        <f t="shared" si="0"/>
        <v>0.34042177806422824</v>
      </c>
      <c r="L17" s="3">
        <f t="shared" si="0"/>
        <v>0.30035374268495063</v>
      </c>
      <c r="M17" s="3">
        <f t="shared" si="0"/>
        <v>0.26940482506788177</v>
      </c>
      <c r="N17" s="3">
        <f t="shared" si="0"/>
        <v>0.26690589089666361</v>
      </c>
      <c r="O17" s="7"/>
      <c r="P17" s="3">
        <f t="shared" ref="P17:P19" si="11">F17/E17</f>
        <v>0.81214421252371916</v>
      </c>
      <c r="Q17" s="3">
        <f t="shared" ref="Q17:Q19" si="12">G17/F17</f>
        <v>0.83644859813084105</v>
      </c>
      <c r="R17" s="3">
        <f t="shared" ref="R17:R19" si="13">H17/G17</f>
        <v>0.85474860335195535</v>
      </c>
      <c r="S17" s="3">
        <f t="shared" ref="S17:S19" si="14">I17/H17</f>
        <v>0.85620915032679745</v>
      </c>
    </row>
    <row r="18" spans="4:19" ht="17.25" customHeight="1" x14ac:dyDescent="0.25">
      <c r="D18" s="7"/>
      <c r="E18" s="8">
        <v>0.52600000000000002</v>
      </c>
      <c r="F18" s="8">
        <v>0.43099999999999999</v>
      </c>
      <c r="G18" s="8">
        <v>0.35499999999999998</v>
      </c>
      <c r="H18" s="8">
        <v>0.30299999999999999</v>
      </c>
      <c r="I18" s="8">
        <v>0.25600000000000001</v>
      </c>
      <c r="J18" s="7"/>
      <c r="K18" s="3">
        <f t="shared" si="0"/>
        <v>0.32859734852318245</v>
      </c>
      <c r="L18" s="3">
        <f t="shared" si="0"/>
        <v>0.32157449626132506</v>
      </c>
      <c r="M18" s="3">
        <f t="shared" si="0"/>
        <v>0.27150168617337822</v>
      </c>
      <c r="N18" s="3">
        <f t="shared" si="0"/>
        <v>0.28617020117853365</v>
      </c>
      <c r="O18" s="7"/>
      <c r="P18" s="3">
        <f t="shared" si="11"/>
        <v>0.81939163498098855</v>
      </c>
      <c r="Q18" s="3">
        <f t="shared" si="12"/>
        <v>0.82366589327146167</v>
      </c>
      <c r="R18" s="3">
        <f t="shared" si="13"/>
        <v>0.85352112676056335</v>
      </c>
      <c r="S18" s="3">
        <f t="shared" si="14"/>
        <v>0.84488448844884489</v>
      </c>
    </row>
    <row r="19" spans="4:19" ht="16.3" thickBot="1" x14ac:dyDescent="0.3">
      <c r="D19" s="7"/>
      <c r="E19" s="8">
        <v>0.53400000000000003</v>
      </c>
      <c r="F19" s="8">
        <v>0.436</v>
      </c>
      <c r="G19" s="8">
        <v>0.36</v>
      </c>
      <c r="H19" s="8">
        <v>0.30499999999999999</v>
      </c>
      <c r="I19" s="8">
        <v>0.26100000000000001</v>
      </c>
      <c r="J19" s="7"/>
      <c r="K19" s="3">
        <f t="shared" si="0"/>
        <v>0.33336138815244998</v>
      </c>
      <c r="L19" s="3">
        <f t="shared" si="0"/>
        <v>0.31823920545408646</v>
      </c>
      <c r="M19" s="3">
        <f t="shared" si="0"/>
        <v>0.2822145061728395</v>
      </c>
      <c r="N19" s="3">
        <f t="shared" si="0"/>
        <v>0.26771298038161784</v>
      </c>
      <c r="O19" s="7"/>
      <c r="P19" s="3">
        <f t="shared" si="11"/>
        <v>0.81647940074906367</v>
      </c>
      <c r="Q19" s="3">
        <f t="shared" si="12"/>
        <v>0.82568807339449535</v>
      </c>
      <c r="R19" s="3">
        <f t="shared" si="13"/>
        <v>0.84722222222222221</v>
      </c>
      <c r="S19" s="3">
        <f t="shared" si="14"/>
        <v>0.8557377049180328</v>
      </c>
    </row>
    <row r="20" spans="4:19" ht="16.3" thickBot="1" x14ac:dyDescent="0.3">
      <c r="D20" s="4"/>
      <c r="E20" s="8"/>
      <c r="F20" s="8"/>
      <c r="G20" s="8"/>
      <c r="H20" s="8"/>
      <c r="I20" s="8"/>
      <c r="J20" s="2" t="s">
        <v>18</v>
      </c>
      <c r="K20" s="3">
        <f>AVERAGE(K16:K19)</f>
        <v>0.33146071781147296</v>
      </c>
      <c r="L20" s="3">
        <f t="shared" ref="L20:N20" si="15">AVERAGE(L16:L19)</f>
        <v>0.31638966822860515</v>
      </c>
      <c r="M20" s="3">
        <f t="shared" si="15"/>
        <v>0.27383221898693161</v>
      </c>
      <c r="N20" s="3">
        <f t="shared" si="15"/>
        <v>0.27974169599017412</v>
      </c>
      <c r="O20" s="2" t="s">
        <v>18</v>
      </c>
      <c r="P20" s="9">
        <f>AVERAGE(P16:S19)</f>
        <v>0.83630384935679325</v>
      </c>
      <c r="Q20" s="10"/>
      <c r="R20" s="10"/>
      <c r="S20" s="11"/>
    </row>
    <row r="21" spans="4:19" ht="16.3" thickBot="1" x14ac:dyDescent="0.3">
      <c r="D21" s="7" t="s">
        <v>21</v>
      </c>
      <c r="E21" s="8">
        <v>0.55700000000000005</v>
      </c>
      <c r="F21" s="8">
        <v>0.443</v>
      </c>
      <c r="G21" s="8">
        <v>0.36899999999999999</v>
      </c>
      <c r="H21" s="8">
        <v>0.309</v>
      </c>
      <c r="I21" s="8">
        <v>0.246</v>
      </c>
      <c r="J21" s="7" t="s">
        <v>21</v>
      </c>
      <c r="K21" s="3">
        <f t="shared" si="0"/>
        <v>0.3674467927374464</v>
      </c>
      <c r="L21" s="3">
        <f t="shared" ref="L21:L29" si="16">1-G21*G21/F21/F21</f>
        <v>0.30618245188510518</v>
      </c>
      <c r="M21" s="3">
        <f t="shared" ref="M21:M29" si="17">1-H21*H21/G21/G21</f>
        <v>0.29876396324938859</v>
      </c>
      <c r="N21" s="3">
        <f t="shared" ref="N21:N29" si="18">1-I21*I21/H21/H21</f>
        <v>0.36619851069846354</v>
      </c>
      <c r="O21" s="7" t="s">
        <v>21</v>
      </c>
      <c r="P21" s="3">
        <f>F21/E21</f>
        <v>0.79533213644524225</v>
      </c>
      <c r="Q21" s="3">
        <f t="shared" ref="Q21:S24" si="19">G21/F21</f>
        <v>0.83295711060948074</v>
      </c>
      <c r="R21" s="3">
        <f t="shared" si="19"/>
        <v>0.83739837398373984</v>
      </c>
      <c r="S21" s="3">
        <f t="shared" si="19"/>
        <v>0.79611650485436891</v>
      </c>
    </row>
    <row r="22" spans="4:19" ht="17.25" customHeight="1" thickBot="1" x14ac:dyDescent="0.3">
      <c r="D22" s="7"/>
      <c r="E22" s="8">
        <v>0.55500000000000005</v>
      </c>
      <c r="F22" s="8">
        <v>0.45300000000000001</v>
      </c>
      <c r="G22" s="8">
        <v>0.372</v>
      </c>
      <c r="H22" s="8">
        <v>0.307</v>
      </c>
      <c r="I22" s="8">
        <v>0.26300000000000001</v>
      </c>
      <c r="J22" s="7"/>
      <c r="K22" s="3">
        <f t="shared" si="0"/>
        <v>0.33379108838568317</v>
      </c>
      <c r="L22" s="3">
        <f t="shared" si="16"/>
        <v>0.32564361212227533</v>
      </c>
      <c r="M22" s="3">
        <f t="shared" si="17"/>
        <v>0.31893137935021387</v>
      </c>
      <c r="N22" s="3">
        <f t="shared" si="18"/>
        <v>0.26610361913654246</v>
      </c>
      <c r="O22" s="7"/>
      <c r="P22" s="3">
        <f t="shared" ref="P22:P24" si="20">F22/E22</f>
        <v>0.81621621621621621</v>
      </c>
      <c r="Q22" s="3">
        <f t="shared" si="19"/>
        <v>0.82119205298013243</v>
      </c>
      <c r="R22" s="3">
        <f t="shared" si="19"/>
        <v>0.82526881720430112</v>
      </c>
      <c r="S22" s="3">
        <f t="shared" si="19"/>
        <v>0.85667752442996747</v>
      </c>
    </row>
    <row r="23" spans="4:19" ht="17.25" customHeight="1" thickBot="1" x14ac:dyDescent="0.3">
      <c r="D23" s="7"/>
      <c r="E23" s="8">
        <v>0.56299999999999994</v>
      </c>
      <c r="F23" s="8">
        <v>0.45200000000000001</v>
      </c>
      <c r="G23" s="8">
        <v>0.371</v>
      </c>
      <c r="H23" s="8">
        <v>0.311</v>
      </c>
      <c r="I23" s="8">
        <v>0.26300000000000001</v>
      </c>
      <c r="J23" s="7"/>
      <c r="K23" s="3">
        <f t="shared" si="0"/>
        <v>0.3554448542286468</v>
      </c>
      <c r="L23" s="3">
        <f t="shared" si="16"/>
        <v>0.32629317096092103</v>
      </c>
      <c r="M23" s="3">
        <f t="shared" si="17"/>
        <v>0.29729513735006274</v>
      </c>
      <c r="N23" s="3">
        <f t="shared" si="18"/>
        <v>0.28486057836457435</v>
      </c>
      <c r="O23" s="7"/>
      <c r="P23" s="3">
        <f t="shared" si="20"/>
        <v>0.80284191829484908</v>
      </c>
      <c r="Q23" s="3">
        <f t="shared" si="19"/>
        <v>0.82079646017699115</v>
      </c>
      <c r="R23" s="3">
        <f t="shared" si="19"/>
        <v>0.83827493261455521</v>
      </c>
      <c r="S23" s="3">
        <f t="shared" si="19"/>
        <v>0.84565916398713825</v>
      </c>
    </row>
    <row r="24" spans="4:19" ht="16.3" thickBot="1" x14ac:dyDescent="0.3">
      <c r="D24" s="7"/>
      <c r="E24" s="8">
        <v>0.56499999999999995</v>
      </c>
      <c r="F24" s="8">
        <v>0.44900000000000001</v>
      </c>
      <c r="G24" s="8">
        <v>0.36399999999999999</v>
      </c>
      <c r="H24" s="8">
        <v>0.30299999999999999</v>
      </c>
      <c r="I24" s="8">
        <v>0.25600000000000001</v>
      </c>
      <c r="J24" s="7"/>
      <c r="K24" s="3">
        <f>1-F24*F24/E24/E24</f>
        <v>0.36846738194063733</v>
      </c>
      <c r="L24" s="3">
        <f t="shared" si="16"/>
        <v>0.34278103779247127</v>
      </c>
      <c r="M24" s="3">
        <f t="shared" si="17"/>
        <v>0.30708096848206734</v>
      </c>
      <c r="N24" s="3">
        <f t="shared" si="18"/>
        <v>0.28617020117853365</v>
      </c>
      <c r="O24" s="7"/>
      <c r="P24" s="3">
        <f t="shared" si="20"/>
        <v>0.79469026548672572</v>
      </c>
      <c r="Q24" s="3">
        <f t="shared" si="19"/>
        <v>0.81069042316258344</v>
      </c>
      <c r="R24" s="3">
        <f t="shared" si="19"/>
        <v>0.83241758241758246</v>
      </c>
      <c r="S24" s="3">
        <f t="shared" si="19"/>
        <v>0.84488448844884489</v>
      </c>
    </row>
    <row r="25" spans="4:19" ht="16.3" thickBot="1" x14ac:dyDescent="0.3">
      <c r="D25" s="4"/>
      <c r="E25" s="8"/>
      <c r="F25" s="8"/>
      <c r="G25" s="8"/>
      <c r="H25" s="8"/>
      <c r="I25" s="8"/>
      <c r="J25" s="2" t="s">
        <v>18</v>
      </c>
      <c r="K25" s="3">
        <f>AVERAGE(K21:K24)</f>
        <v>0.35628752932310337</v>
      </c>
      <c r="L25" s="3">
        <f t="shared" ref="L25:N25" si="21">AVERAGE(L21:L24)</f>
        <v>0.3252250681901932</v>
      </c>
      <c r="M25" s="3">
        <f t="shared" si="21"/>
        <v>0.30551786210793314</v>
      </c>
      <c r="N25" s="3">
        <f t="shared" si="21"/>
        <v>0.3008332273445285</v>
      </c>
      <c r="O25" s="2" t="s">
        <v>18</v>
      </c>
      <c r="P25" s="9">
        <f>AVERAGE(P21:S24)</f>
        <v>0.8232133732070448</v>
      </c>
      <c r="Q25" s="10"/>
      <c r="R25" s="10"/>
      <c r="S25" s="11"/>
    </row>
    <row r="26" spans="4:19" ht="16.3" thickBot="1" x14ac:dyDescent="0.3">
      <c r="D26" s="7" t="s">
        <v>22</v>
      </c>
      <c r="E26" s="8">
        <v>0.59199999999999997</v>
      </c>
      <c r="F26" s="8">
        <v>0.46899999999999997</v>
      </c>
      <c r="G26" s="8">
        <v>0.36899999999999999</v>
      </c>
      <c r="H26" s="8">
        <v>0.313</v>
      </c>
      <c r="I26" s="8">
        <v>0.26300000000000001</v>
      </c>
      <c r="J26" s="7" t="s">
        <v>22</v>
      </c>
      <c r="K26" s="3">
        <f t="shared" ref="K26:K29" si="22">1-F26*F26/E26/E26</f>
        <v>0.3723720553323594</v>
      </c>
      <c r="L26" s="3">
        <f t="shared" si="16"/>
        <v>0.38097662767490592</v>
      </c>
      <c r="M26" s="3">
        <f t="shared" si="17"/>
        <v>0.2804914770014908</v>
      </c>
      <c r="N26" s="3">
        <f t="shared" si="18"/>
        <v>0.2939705417019669</v>
      </c>
      <c r="O26" s="7" t="s">
        <v>22</v>
      </c>
      <c r="P26" s="3">
        <f>F26/E26</f>
        <v>0.79222972972972971</v>
      </c>
      <c r="Q26" s="3">
        <f t="shared" ref="Q26:S29" si="23">G26/F26</f>
        <v>0.78678038379530923</v>
      </c>
      <c r="R26" s="3">
        <f t="shared" si="23"/>
        <v>0.84823848238482391</v>
      </c>
      <c r="S26" s="3">
        <f t="shared" si="23"/>
        <v>0.84025559105431313</v>
      </c>
    </row>
    <row r="27" spans="4:19" ht="17.25" customHeight="1" x14ac:dyDescent="0.25">
      <c r="D27" s="7"/>
      <c r="E27" s="8">
        <v>0.59499999999999997</v>
      </c>
      <c r="F27" s="8">
        <v>0.47499999999999998</v>
      </c>
      <c r="G27" s="8">
        <v>0.38600000000000001</v>
      </c>
      <c r="H27" s="8">
        <v>0.32100000000000001</v>
      </c>
      <c r="I27" s="8">
        <v>0.27300000000000002</v>
      </c>
      <c r="J27" s="7"/>
      <c r="K27" s="3">
        <f t="shared" si="22"/>
        <v>0.36268625097097662</v>
      </c>
      <c r="L27" s="3">
        <f t="shared" si="16"/>
        <v>0.33962991689750688</v>
      </c>
      <c r="M27" s="3">
        <f t="shared" si="17"/>
        <v>0.30843109882144493</v>
      </c>
      <c r="N27" s="3">
        <f t="shared" si="18"/>
        <v>0.27670538911695342</v>
      </c>
      <c r="O27" s="7"/>
      <c r="P27" s="3">
        <f t="shared" ref="P27:P29" si="24">F27/E27</f>
        <v>0.79831932773109249</v>
      </c>
      <c r="Q27" s="3">
        <f t="shared" si="23"/>
        <v>0.81263157894736848</v>
      </c>
      <c r="R27" s="3">
        <f t="shared" si="23"/>
        <v>0.83160621761658027</v>
      </c>
      <c r="S27" s="3">
        <f t="shared" si="23"/>
        <v>0.85046728971962626</v>
      </c>
    </row>
    <row r="28" spans="4:19" ht="15.65" x14ac:dyDescent="0.25">
      <c r="D28" s="7"/>
      <c r="E28" s="8">
        <v>0.59599999999999997</v>
      </c>
      <c r="F28" s="8">
        <v>0.46600000000000003</v>
      </c>
      <c r="G28" s="8">
        <v>0.38500000000000001</v>
      </c>
      <c r="H28" s="8">
        <v>0.32300000000000001</v>
      </c>
      <c r="I28" s="8">
        <v>0.27800000000000002</v>
      </c>
      <c r="J28" s="7"/>
      <c r="K28" s="3">
        <f t="shared" si="22"/>
        <v>0.38866492500337813</v>
      </c>
      <c r="L28" s="3">
        <f t="shared" si="16"/>
        <v>0.31742618209950468</v>
      </c>
      <c r="M28" s="3">
        <f t="shared" si="17"/>
        <v>0.29614437510541403</v>
      </c>
      <c r="N28" s="3">
        <f t="shared" si="18"/>
        <v>0.2592280190551044</v>
      </c>
      <c r="O28" s="7"/>
      <c r="P28" s="3">
        <f t="shared" si="24"/>
        <v>0.78187919463087252</v>
      </c>
      <c r="Q28" s="3">
        <f t="shared" si="23"/>
        <v>0.82618025751072954</v>
      </c>
      <c r="R28" s="3">
        <f t="shared" si="23"/>
        <v>0.83896103896103902</v>
      </c>
      <c r="S28" s="3">
        <f t="shared" si="23"/>
        <v>0.86068111455108365</v>
      </c>
    </row>
    <row r="29" spans="4:19" ht="16.3" thickBot="1" x14ac:dyDescent="0.3">
      <c r="D29" s="7"/>
      <c r="E29" s="8">
        <v>0.59799999999999998</v>
      </c>
      <c r="F29" s="8">
        <v>0.47899999999999998</v>
      </c>
      <c r="G29" s="8">
        <v>0.38600000000000001</v>
      </c>
      <c r="H29" s="8">
        <v>0.32200000000000001</v>
      </c>
      <c r="I29" s="8">
        <v>0.27200000000000002</v>
      </c>
      <c r="J29" s="7"/>
      <c r="K29" s="3">
        <f t="shared" si="22"/>
        <v>0.3583936421292826</v>
      </c>
      <c r="L29" s="3">
        <f t="shared" si="16"/>
        <v>0.35061301162390313</v>
      </c>
      <c r="M29" s="3">
        <f t="shared" si="17"/>
        <v>0.30411554672608654</v>
      </c>
      <c r="N29" s="3">
        <f t="shared" si="18"/>
        <v>0.28644728212646109</v>
      </c>
      <c r="O29" s="7"/>
      <c r="P29" s="3">
        <f t="shared" si="24"/>
        <v>0.80100334448160537</v>
      </c>
      <c r="Q29" s="3">
        <f t="shared" si="23"/>
        <v>0.80584551148225469</v>
      </c>
      <c r="R29" s="3">
        <f t="shared" si="23"/>
        <v>0.83419689119170981</v>
      </c>
      <c r="S29" s="3">
        <f t="shared" si="23"/>
        <v>0.84472049689440998</v>
      </c>
    </row>
    <row r="30" spans="4:19" ht="16.3" thickBot="1" x14ac:dyDescent="0.3">
      <c r="D30" s="3"/>
      <c r="E30" s="8"/>
      <c r="F30" s="8"/>
      <c r="G30" s="8"/>
      <c r="H30" s="8"/>
      <c r="I30" s="8"/>
      <c r="J30" s="5" t="s">
        <v>18</v>
      </c>
      <c r="K30" s="3">
        <f>AVERAGE(K26:K29)</f>
        <v>0.37052921835899921</v>
      </c>
      <c r="L30" s="3">
        <f t="shared" ref="L30:N30" si="25">AVERAGE(L26:L29)</f>
        <v>0.34716143457395521</v>
      </c>
      <c r="M30" s="3">
        <f t="shared" si="25"/>
        <v>0.29729562441360907</v>
      </c>
      <c r="N30" s="3">
        <f t="shared" si="25"/>
        <v>0.27908780800012145</v>
      </c>
      <c r="O30" s="5" t="s">
        <v>18</v>
      </c>
      <c r="P30" s="9">
        <f>AVERAGE(P26:S29)</f>
        <v>0.82212477816765928</v>
      </c>
      <c r="Q30" s="10"/>
      <c r="R30" s="10"/>
      <c r="S30" s="11"/>
    </row>
  </sheetData>
  <mergeCells count="23">
    <mergeCell ref="O21:O24"/>
    <mergeCell ref="O26:O29"/>
    <mergeCell ref="P20:S20"/>
    <mergeCell ref="P25:S25"/>
    <mergeCell ref="P30:S30"/>
    <mergeCell ref="D6:D9"/>
    <mergeCell ref="D11:D14"/>
    <mergeCell ref="D16:D19"/>
    <mergeCell ref="D21:D24"/>
    <mergeCell ref="D26:D29"/>
    <mergeCell ref="J6:J9"/>
    <mergeCell ref="J11:J14"/>
    <mergeCell ref="J16:J19"/>
    <mergeCell ref="J21:J24"/>
    <mergeCell ref="J26:J29"/>
    <mergeCell ref="O6:O9"/>
    <mergeCell ref="O11:O14"/>
    <mergeCell ref="O16:O19"/>
    <mergeCell ref="D4:I4"/>
    <mergeCell ref="J4:N4"/>
    <mergeCell ref="O4:S4"/>
    <mergeCell ref="P10:S10"/>
    <mergeCell ref="P15:S15"/>
  </mergeCells>
  <phoneticPr fontId="6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Transmirgration_zhou</cp:lastModifiedBy>
  <dcterms:created xsi:type="dcterms:W3CDTF">2020-04-29T11:45:02Z</dcterms:created>
  <dcterms:modified xsi:type="dcterms:W3CDTF">2020-04-30T01:57:17Z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